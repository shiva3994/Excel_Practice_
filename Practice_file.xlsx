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81" documentId="11_F25DC773A252ABDACC1048BD89DC52D45ADE58EF" xr6:coauthVersionLast="47" xr6:coauthVersionMax="47" xr10:uidLastSave="{8924EA92-5618-4380-97B9-571D3E6224B9}"/>
  <bookViews>
    <workbookView xWindow="-108" yWindow="-108" windowWidth="23256" windowHeight="12456" activeTab="2" xr2:uid="{00000000-000D-0000-FFFF-FFFF00000000}"/>
  </bookViews>
  <sheets>
    <sheet name="SUMIF,AVGIF" sheetId="1" r:id="rId1"/>
    <sheet name="COUNTIF,IFs" sheetId="2" r:id="rId2"/>
    <sheet name="V,H,XLOOKU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2" l="1"/>
  <c r="G19" i="2"/>
  <c r="G18" i="2"/>
  <c r="E33" i="2"/>
  <c r="G6" i="2" l="1"/>
  <c r="G5" i="2"/>
  <c r="G4" i="2"/>
  <c r="G3" i="2"/>
  <c r="G20" i="1"/>
  <c r="G19" i="1"/>
  <c r="G17" i="1"/>
  <c r="G18" i="1"/>
  <c r="E5" i="1"/>
  <c r="E4" i="1"/>
  <c r="E3" i="1"/>
</calcChain>
</file>

<file path=xl/sharedStrings.xml><?xml version="1.0" encoding="utf-8"?>
<sst xmlns="http://schemas.openxmlformats.org/spreadsheetml/2006/main" count="218" uniqueCount="75">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</sst>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0" xfId="0" applyFont="1"/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3" xfId="0" applyFont="1" applyBorder="1"/>
    <xf numFmtId="0" fontId="5" fillId="0" borderId="13" xfId="0" applyFont="1" applyBorder="1"/>
    <xf numFmtId="0" fontId="6" fillId="0" borderId="0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2" borderId="7" xfId="0" applyFont="1" applyFill="1" applyBorder="1" applyAlignment="1">
      <alignment horizontal="center"/>
    </xf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0" fillId="0" borderId="0" xfId="0" applyFont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0" fillId="0" borderId="17" xfId="0" applyFont="1" applyBorder="1" applyAlignment="1">
      <alignment horizontal="left" wrapText="1"/>
    </xf>
    <xf numFmtId="0" fontId="0" fillId="0" borderId="0" xfId="0" applyFont="1" applyBorder="1" applyAlignment="1">
      <alignment horizontal="left" wrapText="1"/>
    </xf>
    <xf numFmtId="0" fontId="0" fillId="0" borderId="0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22" t="s">
        <v>0</v>
      </c>
      <c r="B1" s="22"/>
      <c r="C1" s="22"/>
      <c r="D1" s="22"/>
      <c r="E1" s="22"/>
      <c r="F1" s="22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22" t="s">
        <v>18</v>
      </c>
      <c r="B15" s="22"/>
      <c r="C15" s="22"/>
      <c r="D15" s="22"/>
      <c r="E15" s="22"/>
      <c r="F15" s="22"/>
      <c r="G15" s="22"/>
      <c r="H15" s="22"/>
      <c r="I15" s="22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3"/>
    <col min="5" max="7" width="12.21875" style="23" customWidth="1"/>
    <col min="8" max="8" width="17.44140625" style="23" customWidth="1"/>
    <col min="9" max="10" width="29.44140625" style="23" customWidth="1"/>
    <col min="11" max="16384" width="14" style="23"/>
  </cols>
  <sheetData>
    <row r="1" spans="1:9" ht="15" thickBot="1" x14ac:dyDescent="0.35">
      <c r="A1" s="24" t="s">
        <v>18</v>
      </c>
      <c r="B1" s="25"/>
      <c r="C1" s="25"/>
      <c r="D1" s="25"/>
      <c r="E1" s="25"/>
      <c r="F1" s="25"/>
      <c r="G1" s="26"/>
      <c r="H1" s="27"/>
    </row>
    <row r="2" spans="1:9" ht="15" thickBot="1" x14ac:dyDescent="0.35">
      <c r="A2" s="28" t="s">
        <v>1</v>
      </c>
      <c r="B2" s="28" t="s">
        <v>41</v>
      </c>
      <c r="C2" s="28" t="s">
        <v>2</v>
      </c>
      <c r="D2" s="28" t="s">
        <v>42</v>
      </c>
      <c r="E2" s="29"/>
      <c r="F2" s="30" t="s">
        <v>21</v>
      </c>
      <c r="G2" s="31" t="s">
        <v>43</v>
      </c>
      <c r="H2" s="32"/>
    </row>
    <row r="3" spans="1:9" ht="15" thickBot="1" x14ac:dyDescent="0.35">
      <c r="A3" s="33" t="s">
        <v>5</v>
      </c>
      <c r="B3" s="33">
        <v>30</v>
      </c>
      <c r="C3" s="33">
        <v>500</v>
      </c>
      <c r="D3" s="33" t="s">
        <v>2</v>
      </c>
      <c r="E3" s="29"/>
      <c r="F3" s="34" t="s">
        <v>6</v>
      </c>
      <c r="G3" s="35">
        <f>COUNT(B3:B12)</f>
        <v>8</v>
      </c>
      <c r="H3" s="36" t="s">
        <v>56</v>
      </c>
      <c r="I3" s="23" t="s">
        <v>47</v>
      </c>
    </row>
    <row r="4" spans="1:9" ht="15" thickBot="1" x14ac:dyDescent="0.35">
      <c r="A4" s="33" t="s">
        <v>7</v>
      </c>
      <c r="B4" s="33">
        <v>28</v>
      </c>
      <c r="C4" s="33">
        <v>650</v>
      </c>
      <c r="D4" s="33" t="s">
        <v>44</v>
      </c>
      <c r="E4" s="29"/>
      <c r="F4" s="34" t="s">
        <v>8</v>
      </c>
      <c r="G4" s="35">
        <f>COUNTA(B3:B12)</f>
        <v>9</v>
      </c>
      <c r="H4" s="36" t="s">
        <v>57</v>
      </c>
      <c r="I4" s="23" t="s">
        <v>48</v>
      </c>
    </row>
    <row r="5" spans="1:9" ht="15" thickBot="1" x14ac:dyDescent="0.35">
      <c r="A5" s="33" t="s">
        <v>9</v>
      </c>
      <c r="B5" s="33" t="s">
        <v>49</v>
      </c>
      <c r="C5" s="33">
        <v>500</v>
      </c>
      <c r="D5" s="33" t="s">
        <v>2</v>
      </c>
      <c r="E5" s="29"/>
      <c r="F5" s="34" t="s">
        <v>10</v>
      </c>
      <c r="G5" s="35">
        <f>COUNTBLANK(B3:B12)</f>
        <v>1</v>
      </c>
      <c r="H5" s="36" t="s">
        <v>58</v>
      </c>
      <c r="I5" s="23" t="s">
        <v>50</v>
      </c>
    </row>
    <row r="6" spans="1:9" ht="15" thickBot="1" x14ac:dyDescent="0.35">
      <c r="A6" s="33" t="s">
        <v>11</v>
      </c>
      <c r="B6" s="33">
        <v>35</v>
      </c>
      <c r="C6" s="33"/>
      <c r="D6" s="33" t="s">
        <v>45</v>
      </c>
      <c r="E6" s="29"/>
      <c r="F6" s="29"/>
      <c r="G6" s="35" t="str">
        <f>IF(COUNTBLANK(C3:C12)&gt;0,"Data Missing","No Data Missing")</f>
        <v>Data Missing</v>
      </c>
      <c r="H6" s="37" t="s">
        <v>59</v>
      </c>
      <c r="I6" s="23" t="s">
        <v>51</v>
      </c>
    </row>
    <row r="7" spans="1:9" ht="15" thickBot="1" x14ac:dyDescent="0.35">
      <c r="A7" s="33" t="s">
        <v>12</v>
      </c>
      <c r="B7" s="33">
        <v>32</v>
      </c>
      <c r="C7" s="33">
        <v>650</v>
      </c>
      <c r="D7" s="33" t="s">
        <v>44</v>
      </c>
      <c r="E7" s="29"/>
      <c r="F7" s="29"/>
      <c r="G7" s="38"/>
      <c r="H7" s="39"/>
      <c r="I7" s="23" t="s">
        <v>52</v>
      </c>
    </row>
    <row r="8" spans="1:9" ht="15" thickBot="1" x14ac:dyDescent="0.35">
      <c r="A8" s="33" t="s">
        <v>13</v>
      </c>
      <c r="B8" s="33">
        <v>29</v>
      </c>
      <c r="C8" s="33">
        <v>700</v>
      </c>
      <c r="D8" s="33" t="s">
        <v>46</v>
      </c>
      <c r="E8" s="29"/>
      <c r="F8" s="29"/>
      <c r="G8" s="38"/>
    </row>
    <row r="9" spans="1:9" ht="15" thickBot="1" x14ac:dyDescent="0.35">
      <c r="A9" s="33" t="s">
        <v>14</v>
      </c>
      <c r="B9" s="33"/>
      <c r="C9" s="33">
        <v>550</v>
      </c>
      <c r="D9" s="33" t="s">
        <v>45</v>
      </c>
      <c r="E9" s="29"/>
      <c r="F9" s="29"/>
      <c r="G9" s="38"/>
      <c r="H9" s="39"/>
    </row>
    <row r="10" spans="1:9" ht="15" thickBot="1" x14ac:dyDescent="0.35">
      <c r="A10" s="33" t="s">
        <v>15</v>
      </c>
      <c r="B10" s="33">
        <v>31</v>
      </c>
      <c r="C10" s="33">
        <v>650</v>
      </c>
      <c r="D10" s="33" t="s">
        <v>2</v>
      </c>
      <c r="E10" s="29"/>
      <c r="F10" s="29"/>
      <c r="G10" s="38"/>
      <c r="H10" s="39"/>
    </row>
    <row r="11" spans="1:9" ht="15" thickBot="1" x14ac:dyDescent="0.35">
      <c r="A11" s="33" t="s">
        <v>16</v>
      </c>
      <c r="B11" s="33">
        <v>40</v>
      </c>
      <c r="C11" s="33">
        <v>800</v>
      </c>
      <c r="D11" s="33" t="s">
        <v>46</v>
      </c>
      <c r="E11" s="29"/>
      <c r="F11" s="29"/>
      <c r="G11" s="38"/>
      <c r="H11" s="39"/>
    </row>
    <row r="12" spans="1:9" ht="15" thickBot="1" x14ac:dyDescent="0.35">
      <c r="A12" s="33" t="s">
        <v>17</v>
      </c>
      <c r="B12" s="33">
        <v>34</v>
      </c>
      <c r="C12" s="33"/>
      <c r="D12" s="33" t="s">
        <v>44</v>
      </c>
      <c r="E12" s="40"/>
      <c r="F12" s="41"/>
      <c r="G12" s="42"/>
      <c r="H12" s="39"/>
    </row>
    <row r="15" spans="1:9" ht="15" thickBot="1" x14ac:dyDescent="0.35"/>
    <row r="16" spans="1:9" ht="15" thickBot="1" x14ac:dyDescent="0.35">
      <c r="A16" s="24" t="s">
        <v>18</v>
      </c>
      <c r="B16" s="25"/>
      <c r="C16" s="25"/>
      <c r="D16" s="25"/>
      <c r="E16" s="25"/>
      <c r="F16" s="51"/>
      <c r="G16" s="51"/>
    </row>
    <row r="17" spans="1:9" ht="15" thickBot="1" x14ac:dyDescent="0.35">
      <c r="A17" s="28" t="s">
        <v>1</v>
      </c>
      <c r="B17" s="28" t="s">
        <v>41</v>
      </c>
      <c r="C17" s="28" t="s">
        <v>2</v>
      </c>
      <c r="D17" s="28" t="s">
        <v>42</v>
      </c>
      <c r="E17" s="49" t="s">
        <v>53</v>
      </c>
      <c r="F17" s="52" t="s">
        <v>21</v>
      </c>
      <c r="G17" s="53" t="s">
        <v>43</v>
      </c>
    </row>
    <row r="18" spans="1:9" ht="15" thickBot="1" x14ac:dyDescent="0.35">
      <c r="A18" s="33" t="s">
        <v>5</v>
      </c>
      <c r="B18" s="33">
        <v>30</v>
      </c>
      <c r="C18" s="33">
        <v>500</v>
      </c>
      <c r="D18" s="33" t="s">
        <v>2</v>
      </c>
      <c r="E18" s="50" t="s">
        <v>54</v>
      </c>
      <c r="F18" s="54" t="s">
        <v>6</v>
      </c>
      <c r="G18" s="55">
        <f>COUNTIF(B18:B27,"&gt;30")</f>
        <v>6</v>
      </c>
      <c r="H18" s="61" t="s">
        <v>70</v>
      </c>
      <c r="I18" s="62"/>
    </row>
    <row r="19" spans="1:9" ht="15" thickBot="1" x14ac:dyDescent="0.35">
      <c r="A19" s="33" t="s">
        <v>7</v>
      </c>
      <c r="B19" s="33">
        <v>28</v>
      </c>
      <c r="C19" s="33">
        <v>650</v>
      </c>
      <c r="D19" s="33" t="s">
        <v>44</v>
      </c>
      <c r="E19" s="50" t="s">
        <v>55</v>
      </c>
      <c r="F19" s="54" t="s">
        <v>8</v>
      </c>
      <c r="G19" s="55">
        <f>COUNTIF(E18:E27,"Male")</f>
        <v>5</v>
      </c>
      <c r="H19" s="61" t="s">
        <v>71</v>
      </c>
      <c r="I19" s="62"/>
    </row>
    <row r="20" spans="1:9" ht="15" thickBot="1" x14ac:dyDescent="0.35">
      <c r="A20" s="33" t="s">
        <v>9</v>
      </c>
      <c r="B20" s="33">
        <v>35</v>
      </c>
      <c r="C20" s="33">
        <v>500</v>
      </c>
      <c r="D20" s="33" t="s">
        <v>2</v>
      </c>
      <c r="E20" s="50" t="s">
        <v>54</v>
      </c>
      <c r="F20" s="56"/>
      <c r="G20" s="57"/>
    </row>
    <row r="21" spans="1:9" ht="15" thickBot="1" x14ac:dyDescent="0.35">
      <c r="A21" s="33" t="s">
        <v>11</v>
      </c>
      <c r="B21" s="33">
        <v>40</v>
      </c>
      <c r="C21" s="33">
        <v>750</v>
      </c>
      <c r="D21" s="33" t="s">
        <v>45</v>
      </c>
      <c r="E21" s="50" t="s">
        <v>55</v>
      </c>
      <c r="F21" s="56"/>
      <c r="G21" s="57"/>
    </row>
    <row r="22" spans="1:9" ht="15" thickBot="1" x14ac:dyDescent="0.35">
      <c r="A22" s="33" t="s">
        <v>12</v>
      </c>
      <c r="B22" s="33">
        <v>32</v>
      </c>
      <c r="C22" s="33">
        <v>650</v>
      </c>
      <c r="D22" s="33" t="s">
        <v>44</v>
      </c>
      <c r="E22" s="50" t="s">
        <v>54</v>
      </c>
      <c r="F22" s="56"/>
      <c r="G22" s="57"/>
    </row>
    <row r="23" spans="1:9" ht="15" thickBot="1" x14ac:dyDescent="0.35">
      <c r="A23" s="33" t="s">
        <v>13</v>
      </c>
      <c r="B23" s="33">
        <v>29</v>
      </c>
      <c r="C23" s="33">
        <v>700</v>
      </c>
      <c r="D23" s="33" t="s">
        <v>46</v>
      </c>
      <c r="E23" s="50" t="s">
        <v>55</v>
      </c>
      <c r="F23" s="56"/>
      <c r="G23" s="57"/>
    </row>
    <row r="24" spans="1:9" ht="15" thickBot="1" x14ac:dyDescent="0.35">
      <c r="A24" s="33" t="s">
        <v>14</v>
      </c>
      <c r="B24" s="33">
        <v>31</v>
      </c>
      <c r="C24" s="33">
        <v>550</v>
      </c>
      <c r="D24" s="33" t="s">
        <v>45</v>
      </c>
      <c r="E24" s="50" t="s">
        <v>54</v>
      </c>
      <c r="F24" s="56"/>
      <c r="G24" s="57"/>
    </row>
    <row r="25" spans="1:9" ht="15" thickBot="1" x14ac:dyDescent="0.35">
      <c r="A25" s="33" t="s">
        <v>15</v>
      </c>
      <c r="B25" s="33">
        <v>27</v>
      </c>
      <c r="C25" s="33">
        <v>650</v>
      </c>
      <c r="D25" s="33" t="s">
        <v>2</v>
      </c>
      <c r="E25" s="50" t="s">
        <v>55</v>
      </c>
      <c r="F25" s="56"/>
      <c r="G25" s="57"/>
    </row>
    <row r="26" spans="1:9" ht="15" thickBot="1" x14ac:dyDescent="0.35">
      <c r="A26" s="33" t="s">
        <v>16</v>
      </c>
      <c r="B26" s="33">
        <v>45</v>
      </c>
      <c r="C26" s="33">
        <v>800</v>
      </c>
      <c r="D26" s="33" t="s">
        <v>46</v>
      </c>
      <c r="E26" s="50" t="s">
        <v>54</v>
      </c>
      <c r="F26" s="56"/>
      <c r="G26" s="57"/>
    </row>
    <row r="27" spans="1:9" ht="15" thickBot="1" x14ac:dyDescent="0.35">
      <c r="A27" s="33" t="s">
        <v>17</v>
      </c>
      <c r="B27" s="33">
        <v>34</v>
      </c>
      <c r="C27" s="33">
        <v>700</v>
      </c>
      <c r="D27" s="33" t="s">
        <v>44</v>
      </c>
      <c r="E27" s="50" t="s">
        <v>55</v>
      </c>
      <c r="F27" s="58"/>
      <c r="G27" s="59"/>
    </row>
    <row r="30" spans="1:9" ht="15" thickBot="1" x14ac:dyDescent="0.35"/>
    <row r="31" spans="1:9" ht="15" thickBot="1" x14ac:dyDescent="0.35">
      <c r="A31" s="43" t="s">
        <v>60</v>
      </c>
      <c r="B31" s="44"/>
      <c r="C31" s="44"/>
      <c r="D31" s="44"/>
      <c r="E31" s="44"/>
      <c r="F31" s="44"/>
      <c r="G31" s="44"/>
      <c r="H31" s="45"/>
    </row>
    <row r="32" spans="1:9" ht="15" thickBot="1" x14ac:dyDescent="0.35">
      <c r="A32" s="46" t="s">
        <v>20</v>
      </c>
      <c r="B32" s="46" t="s">
        <v>19</v>
      </c>
      <c r="C32" s="46" t="s">
        <v>61</v>
      </c>
      <c r="D32" s="46" t="s">
        <v>62</v>
      </c>
      <c r="E32" s="47"/>
      <c r="F32" s="67"/>
      <c r="G32" s="68"/>
      <c r="H32" s="69"/>
    </row>
    <row r="33" spans="1:10" ht="16.2" customHeight="1" thickBot="1" x14ac:dyDescent="0.35">
      <c r="A33" s="33" t="s">
        <v>63</v>
      </c>
      <c r="B33" s="33" t="s">
        <v>22</v>
      </c>
      <c r="C33" s="33">
        <v>3</v>
      </c>
      <c r="D33" s="50" t="s">
        <v>64</v>
      </c>
      <c r="E33" s="76">
        <f>COUNTIF(D33:D51,"Pending")</f>
        <v>7</v>
      </c>
      <c r="F33" s="70" t="s">
        <v>69</v>
      </c>
      <c r="G33" s="71"/>
      <c r="H33" s="72"/>
      <c r="I33" s="66" t="s">
        <v>72</v>
      </c>
      <c r="J33" s="62"/>
    </row>
    <row r="34" spans="1:10" ht="15" customHeight="1" thickBot="1" x14ac:dyDescent="0.35">
      <c r="A34" s="33" t="s">
        <v>65</v>
      </c>
      <c r="B34" s="33" t="s">
        <v>24</v>
      </c>
      <c r="C34" s="33">
        <v>5</v>
      </c>
      <c r="D34" s="50" t="s">
        <v>66</v>
      </c>
      <c r="E34" s="77">
        <f>COUNTIFS(B33:B51,"West",D33:D51,"Delivered")</f>
        <v>3</v>
      </c>
      <c r="F34" s="73" t="s">
        <v>73</v>
      </c>
      <c r="G34" s="74"/>
      <c r="H34" s="75"/>
      <c r="I34" s="64" t="s">
        <v>74</v>
      </c>
      <c r="J34" s="64"/>
    </row>
    <row r="35" spans="1:10" ht="15" thickBot="1" x14ac:dyDescent="0.35">
      <c r="A35" s="33" t="s">
        <v>67</v>
      </c>
      <c r="B35" s="33" t="s">
        <v>26</v>
      </c>
      <c r="C35" s="33">
        <v>2</v>
      </c>
      <c r="D35" s="33" t="s">
        <v>64</v>
      </c>
      <c r="E35" s="29"/>
      <c r="F35" s="48"/>
      <c r="G35" s="48"/>
      <c r="H35" s="48"/>
      <c r="I35" s="63"/>
      <c r="J35" s="64"/>
    </row>
    <row r="36" spans="1:10" ht="15" thickBot="1" x14ac:dyDescent="0.35">
      <c r="A36" s="33" t="s">
        <v>68</v>
      </c>
      <c r="B36" s="33" t="s">
        <v>29</v>
      </c>
      <c r="C36" s="33">
        <v>4</v>
      </c>
      <c r="D36" s="33" t="s">
        <v>64</v>
      </c>
      <c r="E36" s="29"/>
      <c r="F36" s="48"/>
      <c r="G36" s="48"/>
      <c r="H36" s="48"/>
      <c r="I36" s="65"/>
      <c r="J36" s="60"/>
    </row>
    <row r="37" spans="1:10" ht="15" thickBot="1" x14ac:dyDescent="0.35">
      <c r="A37" s="33" t="s">
        <v>63</v>
      </c>
      <c r="B37" s="33" t="s">
        <v>22</v>
      </c>
      <c r="C37" s="33">
        <v>6</v>
      </c>
      <c r="D37" s="33" t="s">
        <v>66</v>
      </c>
      <c r="E37" s="29"/>
      <c r="F37" s="48"/>
      <c r="G37" s="48"/>
      <c r="H37" s="48"/>
      <c r="I37" s="65"/>
      <c r="J37" s="60"/>
    </row>
    <row r="38" spans="1:10" ht="15" thickBot="1" x14ac:dyDescent="0.35">
      <c r="A38" s="33" t="s">
        <v>65</v>
      </c>
      <c r="B38" s="33" t="s">
        <v>24</v>
      </c>
      <c r="C38" s="33">
        <v>3</v>
      </c>
      <c r="D38" s="33" t="s">
        <v>64</v>
      </c>
      <c r="E38" s="29"/>
      <c r="F38" s="48"/>
      <c r="G38" s="48"/>
      <c r="H38" s="48"/>
      <c r="I38" s="65"/>
      <c r="J38" s="60"/>
    </row>
    <row r="39" spans="1:10" ht="15" thickBot="1" x14ac:dyDescent="0.35">
      <c r="A39" s="33" t="s">
        <v>67</v>
      </c>
      <c r="B39" s="33" t="s">
        <v>26</v>
      </c>
      <c r="C39" s="33">
        <v>1</v>
      </c>
      <c r="D39" s="33" t="s">
        <v>64</v>
      </c>
      <c r="E39" s="29"/>
      <c r="F39" s="48"/>
      <c r="G39" s="48"/>
      <c r="H39" s="48"/>
      <c r="I39" s="65"/>
      <c r="J39" s="60"/>
    </row>
    <row r="40" spans="1:10" ht="15" thickBot="1" x14ac:dyDescent="0.35">
      <c r="A40" s="33" t="s">
        <v>68</v>
      </c>
      <c r="B40" s="33" t="s">
        <v>29</v>
      </c>
      <c r="C40" s="33">
        <v>5</v>
      </c>
      <c r="D40" s="33" t="s">
        <v>66</v>
      </c>
      <c r="E40" s="29"/>
      <c r="F40" s="48"/>
      <c r="G40" s="48"/>
      <c r="H40" s="48"/>
      <c r="I40" s="65"/>
      <c r="J40" s="60"/>
    </row>
    <row r="41" spans="1:10" ht="15" thickBot="1" x14ac:dyDescent="0.35">
      <c r="A41" s="33" t="s">
        <v>63</v>
      </c>
      <c r="B41" s="33" t="s">
        <v>22</v>
      </c>
      <c r="C41" s="33">
        <v>2</v>
      </c>
      <c r="D41" s="33" t="s">
        <v>64</v>
      </c>
      <c r="E41" s="29"/>
      <c r="F41" s="48"/>
      <c r="G41" s="48"/>
      <c r="H41" s="48"/>
      <c r="I41" s="65"/>
      <c r="J41" s="60"/>
    </row>
    <row r="42" spans="1:10" ht="15" thickBot="1" x14ac:dyDescent="0.35">
      <c r="A42" s="33" t="s">
        <v>65</v>
      </c>
      <c r="B42" s="33" t="s">
        <v>24</v>
      </c>
      <c r="C42" s="33">
        <v>4</v>
      </c>
      <c r="D42" s="33" t="s">
        <v>66</v>
      </c>
      <c r="E42" s="29"/>
      <c r="F42" s="48"/>
      <c r="G42" s="48"/>
      <c r="H42" s="48"/>
      <c r="I42" s="65"/>
      <c r="J42" s="60"/>
    </row>
    <row r="43" spans="1:10" ht="15" thickBot="1" x14ac:dyDescent="0.35">
      <c r="A43" s="33" t="s">
        <v>67</v>
      </c>
      <c r="B43" s="33" t="s">
        <v>26</v>
      </c>
      <c r="C43" s="33">
        <v>3</v>
      </c>
      <c r="D43" s="33" t="s">
        <v>64</v>
      </c>
      <c r="E43" s="29"/>
      <c r="F43" s="48"/>
      <c r="G43" s="48"/>
      <c r="H43" s="48"/>
      <c r="I43" s="65"/>
      <c r="J43" s="60"/>
    </row>
    <row r="44" spans="1:10" ht="15" thickBot="1" x14ac:dyDescent="0.35">
      <c r="A44" s="33" t="s">
        <v>68</v>
      </c>
      <c r="B44" s="33" t="s">
        <v>29</v>
      </c>
      <c r="C44" s="33">
        <v>2</v>
      </c>
      <c r="D44" s="33" t="s">
        <v>64</v>
      </c>
      <c r="E44" s="29"/>
      <c r="F44" s="48"/>
      <c r="G44" s="48"/>
      <c r="H44" s="48"/>
      <c r="I44" s="65"/>
      <c r="J44" s="60"/>
    </row>
    <row r="45" spans="1:10" ht="15" thickBot="1" x14ac:dyDescent="0.35">
      <c r="A45" s="33" t="s">
        <v>63</v>
      </c>
      <c r="B45" s="33" t="s">
        <v>22</v>
      </c>
      <c r="C45" s="33">
        <v>1</v>
      </c>
      <c r="D45" s="33" t="s">
        <v>66</v>
      </c>
      <c r="E45" s="29"/>
      <c r="F45" s="48"/>
      <c r="G45" s="48"/>
      <c r="H45" s="48"/>
    </row>
    <row r="46" spans="1:10" ht="15" thickBot="1" x14ac:dyDescent="0.35">
      <c r="A46" s="33" t="s">
        <v>65</v>
      </c>
      <c r="B46" s="33" t="s">
        <v>24</v>
      </c>
      <c r="C46" s="33">
        <v>6</v>
      </c>
      <c r="D46" s="33" t="s">
        <v>64</v>
      </c>
      <c r="E46" s="29"/>
      <c r="F46" s="48"/>
      <c r="G46" s="48"/>
      <c r="H46" s="48"/>
    </row>
    <row r="47" spans="1:10" ht="15" thickBot="1" x14ac:dyDescent="0.35">
      <c r="A47" s="33" t="s">
        <v>67</v>
      </c>
      <c r="B47" s="33" t="s">
        <v>26</v>
      </c>
      <c r="C47" s="33">
        <v>4</v>
      </c>
      <c r="D47" s="33" t="s">
        <v>66</v>
      </c>
      <c r="E47" s="29"/>
      <c r="F47" s="48"/>
      <c r="G47" s="48"/>
      <c r="H47" s="48"/>
    </row>
    <row r="48" spans="1:10" ht="15" thickBot="1" x14ac:dyDescent="0.35">
      <c r="A48" s="33" t="s">
        <v>68</v>
      </c>
      <c r="B48" s="33" t="s">
        <v>29</v>
      </c>
      <c r="C48" s="33">
        <v>3</v>
      </c>
      <c r="D48" s="33" t="s">
        <v>64</v>
      </c>
      <c r="E48" s="29"/>
      <c r="F48" s="48"/>
      <c r="G48" s="48"/>
      <c r="H48" s="48"/>
    </row>
    <row r="49" spans="1:8" ht="15" thickBot="1" x14ac:dyDescent="0.35">
      <c r="A49" s="33" t="s">
        <v>63</v>
      </c>
      <c r="B49" s="33" t="s">
        <v>22</v>
      </c>
      <c r="C49" s="33">
        <v>5</v>
      </c>
      <c r="D49" s="33" t="s">
        <v>64</v>
      </c>
      <c r="E49" s="29"/>
      <c r="F49" s="48"/>
      <c r="G49" s="48"/>
      <c r="H49" s="48"/>
    </row>
    <row r="50" spans="1:8" ht="15" thickBot="1" x14ac:dyDescent="0.35">
      <c r="A50" s="33" t="s">
        <v>65</v>
      </c>
      <c r="B50" s="33" t="s">
        <v>24</v>
      </c>
      <c r="C50" s="33">
        <v>2</v>
      </c>
      <c r="D50" s="33" t="s">
        <v>66</v>
      </c>
      <c r="E50" s="29"/>
      <c r="F50" s="48"/>
      <c r="G50" s="48"/>
      <c r="H50" s="48"/>
    </row>
    <row r="51" spans="1:8" ht="15" thickBot="1" x14ac:dyDescent="0.35">
      <c r="A51" s="33" t="s">
        <v>67</v>
      </c>
      <c r="B51" s="33" t="s">
        <v>26</v>
      </c>
      <c r="C51" s="33">
        <v>2</v>
      </c>
      <c r="D51" s="33" t="s">
        <v>64</v>
      </c>
      <c r="E51" s="29"/>
      <c r="F51" s="48"/>
      <c r="G51" s="48"/>
      <c r="H51" s="48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"/>
  <sheetViews>
    <sheetView tabSelected="1" workbookViewId="0">
      <selection activeCell="J21" sqref="J21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SUMIF,AVGIF</vt:lpstr>
      <vt:lpstr>COUNTIF,IFs</vt:lpstr>
      <vt:lpstr>V,H,XLOOKUP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2026-04-15T17:46:52Z</dcterms:modified>
</cp:coreProperties>
</file>